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Gastos" sheetId="1" state="visible" r:id="rId1"/>
    <sheet xmlns:r="http://schemas.openxmlformats.org/officeDocument/2006/relationships" name="Resumen por Categoría" sheetId="2" state="visible" r:id="rId2"/>
    <sheet xmlns:r="http://schemas.openxmlformats.org/officeDocument/2006/relationships" name="Plantillas de Prom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B5E20"/>
      <sz val="10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6F00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164" fontId="0" fillId="6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right" vertical="center"/>
    </xf>
    <xf numFmtId="0" fontId="0" fillId="2" borderId="1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165" fontId="8" fillId="9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22" customWidth="1" min="3" max="3"/>
    <col width="22" customWidth="1" min="4" max="4"/>
    <col width="20" customWidth="1" min="5" max="5"/>
    <col width="10" customWidth="1" min="6" max="6"/>
    <col width="10" customWidth="1" min="7" max="7"/>
    <col width="15" customWidth="1" min="8" max="8"/>
    <col width="15" customWidth="1" min="9" max="9"/>
    <col width="25" customWidth="1" min="10" max="10"/>
  </cols>
  <sheetData>
    <row r="1" ht="32" customHeight="1">
      <c r="A1" s="1" t="inlineStr">
        <is>
          <t>CONTROL DE GASTOS - FINCA AGROPECUARIA</t>
        </is>
      </c>
    </row>
    <row r="2" ht="20" customHeight="1">
      <c r="A2" s="2" t="inlineStr">
        <is>
          <t>Registra tus gastos diarios — Claude los categoriza automáticamente</t>
        </is>
      </c>
    </row>
    <row r="3" ht="28" customHeight="1">
      <c r="A3" s="3" t="inlineStr">
        <is>
          <t>Fecha</t>
        </is>
      </c>
      <c r="B3" s="3" t="inlineStr">
        <is>
          <t>Descripción del Gasto</t>
        </is>
      </c>
      <c r="C3" s="3" t="inlineStr">
        <is>
          <t>Categoría</t>
        </is>
      </c>
      <c r="D3" s="3" t="inlineStr">
        <is>
          <t>Subcategoría</t>
        </is>
      </c>
      <c r="E3" s="3" t="inlineStr">
        <is>
          <t>Proveedor</t>
        </is>
      </c>
      <c r="F3" s="3" t="inlineStr">
        <is>
          <t>Cantidad</t>
        </is>
      </c>
      <c r="G3" s="3" t="inlineStr">
        <is>
          <t>Unidad</t>
        </is>
      </c>
      <c r="H3" s="3" t="inlineStr">
        <is>
          <t>Valor Unit. ($)</t>
        </is>
      </c>
      <c r="I3" s="3" t="inlineStr">
        <is>
          <t>Total ($)</t>
        </is>
      </c>
      <c r="J3" s="3" t="inlineStr">
        <is>
          <t>Notas</t>
        </is>
      </c>
    </row>
    <row r="4" ht="20" customHeight="1">
      <c r="A4" s="4" t="inlineStr">
        <is>
          <t>2025-04-27</t>
        </is>
      </c>
      <c r="B4" s="5" t="inlineStr">
        <is>
          <t>Vacuna aftosa x20 dosis</t>
        </is>
      </c>
      <c r="C4" s="5" t="inlineStr">
        <is>
          <t>Sanidad animal</t>
        </is>
      </c>
      <c r="D4" s="5" t="inlineStr">
        <is>
          <t>Vacunas</t>
        </is>
      </c>
      <c r="E4" s="5" t="inlineStr">
        <is>
          <t>Distribuidora Agro Ltda</t>
        </is>
      </c>
      <c r="F4" s="4" t="n">
        <v>20</v>
      </c>
      <c r="G4" s="4" t="inlineStr">
        <is>
          <t>dosis</t>
        </is>
      </c>
      <c r="H4" s="6" t="n">
        <v>2250</v>
      </c>
      <c r="I4" s="7">
        <f>F4*H4</f>
        <v/>
      </c>
      <c r="J4" s="5" t="inlineStr">
        <is>
          <t>Lote 12 - terneros</t>
        </is>
      </c>
    </row>
    <row r="5" ht="20" customHeight="1">
      <c r="A5" s="8" t="inlineStr">
        <is>
          <t>2025-04-27</t>
        </is>
      </c>
      <c r="B5" s="9" t="inlineStr">
        <is>
          <t>Sal mineralizada 2 bultos</t>
        </is>
      </c>
      <c r="C5" s="9" t="inlineStr">
        <is>
          <t>Alimentación animal</t>
        </is>
      </c>
      <c r="D5" s="9" t="inlineStr">
        <is>
          <t>Minerales</t>
        </is>
      </c>
      <c r="E5" s="9" t="inlineStr">
        <is>
          <t>Almacén El Campo</t>
        </is>
      </c>
      <c r="F5" s="8" t="n">
        <v>2</v>
      </c>
      <c r="G5" s="8" t="inlineStr">
        <is>
          <t>bultos</t>
        </is>
      </c>
      <c r="H5" s="10" t="n">
        <v>80000</v>
      </c>
      <c r="I5" s="11">
        <f>F5*H5</f>
        <v/>
      </c>
      <c r="J5" s="9" t="inlineStr"/>
    </row>
    <row r="6" ht="20" customHeight="1">
      <c r="A6" s="4" t="inlineStr">
        <is>
          <t>2025-04-27</t>
        </is>
      </c>
      <c r="B6" s="5" t="inlineStr">
        <is>
          <t>Jornal - Pedro Martínez</t>
        </is>
      </c>
      <c r="C6" s="5" t="inlineStr">
        <is>
          <t>Mano de obra</t>
        </is>
      </c>
      <c r="D6" s="5" t="inlineStr">
        <is>
          <t>Jornales</t>
        </is>
      </c>
      <c r="E6" s="5" t="inlineStr">
        <is>
          <t>Pedro Martínez</t>
        </is>
      </c>
      <c r="F6" s="4" t="n">
        <v>1</v>
      </c>
      <c r="G6" s="4" t="inlineStr">
        <is>
          <t>jornal</t>
        </is>
      </c>
      <c r="H6" s="6" t="n">
        <v>50000</v>
      </c>
      <c r="I6" s="7">
        <f>F6*H6</f>
        <v/>
      </c>
      <c r="J6" s="5" t="inlineStr">
        <is>
          <t>Chapeo potrero 3</t>
        </is>
      </c>
    </row>
    <row r="7" ht="20" customHeight="1">
      <c r="A7" s="8" t="inlineStr">
        <is>
          <t>2025-04-27</t>
        </is>
      </c>
      <c r="B7" s="9" t="inlineStr">
        <is>
          <t>Gasolina motosierra</t>
        </is>
      </c>
      <c r="C7" s="9" t="inlineStr">
        <is>
          <t>Maquinaria y equipos</t>
        </is>
      </c>
      <c r="D7" s="9" t="inlineStr">
        <is>
          <t>Combustible</t>
        </is>
      </c>
      <c r="E7" s="9" t="inlineStr">
        <is>
          <t>Estación Mobil</t>
        </is>
      </c>
      <c r="F7" s="8" t="n">
        <v>5</v>
      </c>
      <c r="G7" s="8" t="inlineStr">
        <is>
          <t>litros</t>
        </is>
      </c>
      <c r="H7" s="10" t="n">
        <v>5000</v>
      </c>
      <c r="I7" s="11">
        <f>F7*H7</f>
        <v/>
      </c>
      <c r="J7" s="9" t="inlineStr"/>
    </row>
    <row r="8" ht="20" customHeight="1">
      <c r="A8" s="4" t="inlineStr">
        <is>
          <t>2025-04-28</t>
        </is>
      </c>
      <c r="B8" s="5" t="inlineStr">
        <is>
          <t>Concentrado bovino 3 bultos</t>
        </is>
      </c>
      <c r="C8" s="5" t="inlineStr">
        <is>
          <t>Alimentación animal</t>
        </is>
      </c>
      <c r="D8" s="5" t="inlineStr">
        <is>
          <t>Concentrados</t>
        </is>
      </c>
      <c r="E8" s="5" t="inlineStr">
        <is>
          <t>Contegral</t>
        </is>
      </c>
      <c r="F8" s="4" t="n">
        <v>3</v>
      </c>
      <c r="G8" s="4" t="inlineStr">
        <is>
          <t>bultos</t>
        </is>
      </c>
      <c r="H8" s="6" t="n">
        <v>95000</v>
      </c>
      <c r="I8" s="7">
        <f>F8*H8</f>
        <v/>
      </c>
      <c r="J8" s="5" t="inlineStr">
        <is>
          <t>Para terneras en cría</t>
        </is>
      </c>
    </row>
    <row r="9" ht="20" customHeight="1">
      <c r="A9" s="8" t="inlineStr">
        <is>
          <t>2025-04-28</t>
        </is>
      </c>
      <c r="B9" s="9" t="inlineStr">
        <is>
          <t>Ivermectina 500ml</t>
        </is>
      </c>
      <c r="C9" s="9" t="inlineStr">
        <is>
          <t>Sanidad animal</t>
        </is>
      </c>
      <c r="D9" s="9" t="inlineStr">
        <is>
          <t>Antiparasitarios</t>
        </is>
      </c>
      <c r="E9" s="9" t="inlineStr">
        <is>
          <t>Vetamar</t>
        </is>
      </c>
      <c r="F9" s="8" t="n">
        <v>1</v>
      </c>
      <c r="G9" s="8" t="inlineStr">
        <is>
          <t>frasco</t>
        </is>
      </c>
      <c r="H9" s="10" t="n">
        <v>45000</v>
      </c>
      <c r="I9" s="11">
        <f>F9*H9</f>
        <v/>
      </c>
      <c r="J9" s="9" t="inlineStr">
        <is>
          <t>Desparasitación mensual</t>
        </is>
      </c>
    </row>
    <row r="10" ht="20" customHeight="1">
      <c r="A10" s="4" t="inlineStr">
        <is>
          <t>2025-04-28</t>
        </is>
      </c>
      <c r="B10" s="5" t="inlineStr">
        <is>
          <t>Alambre de púas rollo</t>
        </is>
      </c>
      <c r="C10" s="5" t="inlineStr">
        <is>
          <t>Insumos agrícolas</t>
        </is>
      </c>
      <c r="D10" s="5" t="inlineStr">
        <is>
          <t>Cercas</t>
        </is>
      </c>
      <c r="E10" s="5" t="inlineStr">
        <is>
          <t>Ferretería Central</t>
        </is>
      </c>
      <c r="F10" s="4" t="n">
        <v>2</v>
      </c>
      <c r="G10" s="4" t="inlineStr">
        <is>
          <t>rollos</t>
        </is>
      </c>
      <c r="H10" s="6" t="n">
        <v>78000</v>
      </c>
      <c r="I10" s="7">
        <f>F10*H10</f>
        <v/>
      </c>
      <c r="J10" s="5" t="inlineStr">
        <is>
          <t>Reparación cercado norte</t>
        </is>
      </c>
    </row>
    <row r="11" ht="20" customHeight="1">
      <c r="A11" s="8" t="inlineStr">
        <is>
          <t>2025-04-29</t>
        </is>
      </c>
      <c r="B11" s="9" t="inlineStr">
        <is>
          <t>Herbicida glifosato 1L</t>
        </is>
      </c>
      <c r="C11" s="9" t="inlineStr">
        <is>
          <t>Insumos agrícolas</t>
        </is>
      </c>
      <c r="D11" s="9" t="inlineStr">
        <is>
          <t>Agroquímicos</t>
        </is>
      </c>
      <c r="E11" s="9" t="inlineStr">
        <is>
          <t>Agroservicios</t>
        </is>
      </c>
      <c r="F11" s="8" t="n">
        <v>4</v>
      </c>
      <c r="G11" s="8" t="inlineStr">
        <is>
          <t>litros</t>
        </is>
      </c>
      <c r="H11" s="10" t="n">
        <v>22000</v>
      </c>
      <c r="I11" s="11">
        <f>F11*H11</f>
        <v/>
      </c>
      <c r="J11" s="9" t="inlineStr">
        <is>
          <t>Control malezas potrero 1</t>
        </is>
      </c>
    </row>
    <row r="12" ht="20" customHeight="1">
      <c r="A12" s="4" t="inlineStr">
        <is>
          <t>2025-04-29</t>
        </is>
      </c>
      <c r="B12" s="5" t="inlineStr">
        <is>
          <t>Almuerzo trabajadores</t>
        </is>
      </c>
      <c r="C12" s="5" t="inlineStr">
        <is>
          <t>Mano de obra</t>
        </is>
      </c>
      <c r="D12" s="5" t="inlineStr">
        <is>
          <t>Alimentación personal</t>
        </is>
      </c>
      <c r="E12" s="5" t="inlineStr">
        <is>
          <t>Comedor El Campesino</t>
        </is>
      </c>
      <c r="F12" s="4" t="n">
        <v>3</v>
      </c>
      <c r="G12" s="4" t="inlineStr">
        <is>
          <t>almuerzos</t>
        </is>
      </c>
      <c r="H12" s="6" t="n">
        <v>12000</v>
      </c>
      <c r="I12" s="7">
        <f>F12*H12</f>
        <v/>
      </c>
      <c r="J12" s="5" t="inlineStr"/>
    </row>
    <row r="13" ht="20" customHeight="1">
      <c r="A13" s="8" t="inlineStr">
        <is>
          <t>2025-04-30</t>
        </is>
      </c>
      <c r="B13" s="9" t="inlineStr">
        <is>
          <t>Flete transporte ganado</t>
        </is>
      </c>
      <c r="C13" s="9" t="inlineStr">
        <is>
          <t>Transporte</t>
        </is>
      </c>
      <c r="D13" s="9" t="inlineStr">
        <is>
          <t>Flete ganado</t>
        </is>
      </c>
      <c r="E13" s="9" t="inlineStr">
        <is>
          <t>Transportes Boyacá</t>
        </is>
      </c>
      <c r="F13" s="8" t="n">
        <v>1</v>
      </c>
      <c r="G13" s="8" t="inlineStr">
        <is>
          <t>viaje</t>
        </is>
      </c>
      <c r="H13" s="10" t="n">
        <v>180000</v>
      </c>
      <c r="I13" s="11">
        <f>F13*H13</f>
        <v/>
      </c>
      <c r="J13" s="9" t="inlineStr">
        <is>
          <t>Subasta Sogamoso</t>
        </is>
      </c>
    </row>
    <row r="14" ht="18" customHeight="1">
      <c r="A14" s="12" t="n"/>
      <c r="B14" s="13" t="n"/>
      <c r="C14" s="13" t="n"/>
      <c r="D14" s="13" t="n"/>
      <c r="E14" s="13" t="n"/>
      <c r="F14" s="12" t="n"/>
      <c r="G14" s="12" t="n"/>
      <c r="H14" s="14" t="n"/>
      <c r="I14" s="15">
        <f>IF(F14="","",F14*H14)</f>
        <v/>
      </c>
      <c r="J14" s="13" t="n"/>
    </row>
    <row r="15" ht="18" customHeight="1">
      <c r="A15" s="16" t="n"/>
      <c r="B15" s="17" t="n"/>
      <c r="C15" s="17" t="n"/>
      <c r="D15" s="17" t="n"/>
      <c r="E15" s="17" t="n"/>
      <c r="F15" s="16" t="n"/>
      <c r="G15" s="16" t="n"/>
      <c r="H15" s="18" t="n"/>
      <c r="I15" s="11">
        <f>IF(F15="","",F15*H15)</f>
        <v/>
      </c>
      <c r="J15" s="17" t="n"/>
    </row>
    <row r="16" ht="18" customHeight="1">
      <c r="A16" s="12" t="n"/>
      <c r="B16" s="13" t="n"/>
      <c r="C16" s="13" t="n"/>
      <c r="D16" s="13" t="n"/>
      <c r="E16" s="13" t="n"/>
      <c r="F16" s="12" t="n"/>
      <c r="G16" s="12" t="n"/>
      <c r="H16" s="14" t="n"/>
      <c r="I16" s="15">
        <f>IF(F16="","",F16*H16)</f>
        <v/>
      </c>
      <c r="J16" s="13" t="n"/>
    </row>
    <row r="17" ht="18" customHeight="1">
      <c r="A17" s="16" t="n"/>
      <c r="B17" s="17" t="n"/>
      <c r="C17" s="17" t="n"/>
      <c r="D17" s="17" t="n"/>
      <c r="E17" s="17" t="n"/>
      <c r="F17" s="16" t="n"/>
      <c r="G17" s="16" t="n"/>
      <c r="H17" s="18" t="n"/>
      <c r="I17" s="11">
        <f>IF(F17="","",F17*H17)</f>
        <v/>
      </c>
      <c r="J17" s="17" t="n"/>
    </row>
    <row r="18" ht="18" customHeight="1">
      <c r="A18" s="12" t="n"/>
      <c r="B18" s="13" t="n"/>
      <c r="C18" s="13" t="n"/>
      <c r="D18" s="13" t="n"/>
      <c r="E18" s="13" t="n"/>
      <c r="F18" s="12" t="n"/>
      <c r="G18" s="12" t="n"/>
      <c r="H18" s="14" t="n"/>
      <c r="I18" s="15">
        <f>IF(F18="","",F18*H18)</f>
        <v/>
      </c>
      <c r="J18" s="13" t="n"/>
    </row>
    <row r="19" ht="18" customHeight="1">
      <c r="A19" s="16" t="n"/>
      <c r="B19" s="17" t="n"/>
      <c r="C19" s="17" t="n"/>
      <c r="D19" s="17" t="n"/>
      <c r="E19" s="17" t="n"/>
      <c r="F19" s="16" t="n"/>
      <c r="G19" s="16" t="n"/>
      <c r="H19" s="18" t="n"/>
      <c r="I19" s="11">
        <f>IF(F19="","",F19*H19)</f>
        <v/>
      </c>
      <c r="J19" s="17" t="n"/>
    </row>
    <row r="20" ht="18" customHeight="1">
      <c r="A20" s="12" t="n"/>
      <c r="B20" s="13" t="n"/>
      <c r="C20" s="13" t="n"/>
      <c r="D20" s="13" t="n"/>
      <c r="E20" s="13" t="n"/>
      <c r="F20" s="12" t="n"/>
      <c r="G20" s="12" t="n"/>
      <c r="H20" s="14" t="n"/>
      <c r="I20" s="15">
        <f>IF(F20="","",F20*H20)</f>
        <v/>
      </c>
      <c r="J20" s="13" t="n"/>
    </row>
    <row r="21" ht="18" customHeight="1">
      <c r="A21" s="16" t="n"/>
      <c r="B21" s="17" t="n"/>
      <c r="C21" s="17" t="n"/>
      <c r="D21" s="17" t="n"/>
      <c r="E21" s="17" t="n"/>
      <c r="F21" s="16" t="n"/>
      <c r="G21" s="16" t="n"/>
      <c r="H21" s="18" t="n"/>
      <c r="I21" s="11">
        <f>IF(F21="","",F21*H21)</f>
        <v/>
      </c>
      <c r="J21" s="17" t="n"/>
    </row>
    <row r="22" ht="18" customHeight="1">
      <c r="A22" s="12" t="n"/>
      <c r="B22" s="13" t="n"/>
      <c r="C22" s="13" t="n"/>
      <c r="D22" s="13" t="n"/>
      <c r="E22" s="13" t="n"/>
      <c r="F22" s="12" t="n"/>
      <c r="G22" s="12" t="n"/>
      <c r="H22" s="14" t="n"/>
      <c r="I22" s="15">
        <f>IF(F22="","",F22*H22)</f>
        <v/>
      </c>
      <c r="J22" s="13" t="n"/>
    </row>
    <row r="23" ht="18" customHeight="1">
      <c r="A23" s="16" t="n"/>
      <c r="B23" s="17" t="n"/>
      <c r="C23" s="17" t="n"/>
      <c r="D23" s="17" t="n"/>
      <c r="E23" s="17" t="n"/>
      <c r="F23" s="16" t="n"/>
      <c r="G23" s="16" t="n"/>
      <c r="H23" s="18" t="n"/>
      <c r="I23" s="11">
        <f>IF(F23="","",F23*H23)</f>
        <v/>
      </c>
      <c r="J23" s="17" t="n"/>
    </row>
    <row r="24" ht="18" customHeight="1">
      <c r="A24" s="12" t="n"/>
      <c r="B24" s="13" t="n"/>
      <c r="C24" s="13" t="n"/>
      <c r="D24" s="13" t="n"/>
      <c r="E24" s="13" t="n"/>
      <c r="F24" s="12" t="n"/>
      <c r="G24" s="12" t="n"/>
      <c r="H24" s="14" t="n"/>
      <c r="I24" s="15">
        <f>IF(F24="","",F24*H24)</f>
        <v/>
      </c>
      <c r="J24" s="13" t="n"/>
    </row>
    <row r="25" ht="18" customHeight="1">
      <c r="A25" s="16" t="n"/>
      <c r="B25" s="17" t="n"/>
      <c r="C25" s="17" t="n"/>
      <c r="D25" s="17" t="n"/>
      <c r="E25" s="17" t="n"/>
      <c r="F25" s="16" t="n"/>
      <c r="G25" s="16" t="n"/>
      <c r="H25" s="18" t="n"/>
      <c r="I25" s="11">
        <f>IF(F25="","",F25*H25)</f>
        <v/>
      </c>
      <c r="J25" s="17" t="n"/>
    </row>
    <row r="26" ht="18" customHeight="1">
      <c r="A26" s="12" t="n"/>
      <c r="B26" s="13" t="n"/>
      <c r="C26" s="13" t="n"/>
      <c r="D26" s="13" t="n"/>
      <c r="E26" s="13" t="n"/>
      <c r="F26" s="12" t="n"/>
      <c r="G26" s="12" t="n"/>
      <c r="H26" s="14" t="n"/>
      <c r="I26" s="15">
        <f>IF(F26="","",F26*H26)</f>
        <v/>
      </c>
      <c r="J26" s="13" t="n"/>
    </row>
    <row r="27" ht="18" customHeight="1">
      <c r="A27" s="16" t="n"/>
      <c r="B27" s="17" t="n"/>
      <c r="C27" s="17" t="n"/>
      <c r="D27" s="17" t="n"/>
      <c r="E27" s="17" t="n"/>
      <c r="F27" s="16" t="n"/>
      <c r="G27" s="16" t="n"/>
      <c r="H27" s="18" t="n"/>
      <c r="I27" s="11">
        <f>IF(F27="","",F27*H27)</f>
        <v/>
      </c>
      <c r="J27" s="17" t="n"/>
    </row>
    <row r="28" ht="18" customHeight="1">
      <c r="A28" s="12" t="n"/>
      <c r="B28" s="13" t="n"/>
      <c r="C28" s="13" t="n"/>
      <c r="D28" s="13" t="n"/>
      <c r="E28" s="13" t="n"/>
      <c r="F28" s="12" t="n"/>
      <c r="G28" s="12" t="n"/>
      <c r="H28" s="14" t="n"/>
      <c r="I28" s="15">
        <f>IF(F28="","",F28*H28)</f>
        <v/>
      </c>
      <c r="J28" s="13" t="n"/>
    </row>
    <row r="29" ht="18" customHeight="1">
      <c r="A29" s="16" t="n"/>
      <c r="B29" s="17" t="n"/>
      <c r="C29" s="17" t="n"/>
      <c r="D29" s="17" t="n"/>
      <c r="E29" s="17" t="n"/>
      <c r="F29" s="16" t="n"/>
      <c r="G29" s="16" t="n"/>
      <c r="H29" s="18" t="n"/>
      <c r="I29" s="11">
        <f>IF(F29="","",F29*H29)</f>
        <v/>
      </c>
      <c r="J29" s="17" t="n"/>
    </row>
    <row r="30" ht="18" customHeight="1">
      <c r="A30" s="12" t="n"/>
      <c r="B30" s="13" t="n"/>
      <c r="C30" s="13" t="n"/>
      <c r="D30" s="13" t="n"/>
      <c r="E30" s="13" t="n"/>
      <c r="F30" s="12" t="n"/>
      <c r="G30" s="12" t="n"/>
      <c r="H30" s="14" t="n"/>
      <c r="I30" s="15">
        <f>IF(F30="","",F30*H30)</f>
        <v/>
      </c>
      <c r="J30" s="13" t="n"/>
    </row>
    <row r="31" ht="18" customHeight="1">
      <c r="A31" s="16" t="n"/>
      <c r="B31" s="17" t="n"/>
      <c r="C31" s="17" t="n"/>
      <c r="D31" s="17" t="n"/>
      <c r="E31" s="17" t="n"/>
      <c r="F31" s="16" t="n"/>
      <c r="G31" s="16" t="n"/>
      <c r="H31" s="18" t="n"/>
      <c r="I31" s="11">
        <f>IF(F31="","",F31*H31)</f>
        <v/>
      </c>
      <c r="J31" s="17" t="n"/>
    </row>
    <row r="32" ht="18" customHeight="1">
      <c r="A32" s="12" t="n"/>
      <c r="B32" s="13" t="n"/>
      <c r="C32" s="13" t="n"/>
      <c r="D32" s="13" t="n"/>
      <c r="E32" s="13" t="n"/>
      <c r="F32" s="12" t="n"/>
      <c r="G32" s="12" t="n"/>
      <c r="H32" s="14" t="n"/>
      <c r="I32" s="15">
        <f>IF(F32="","",F32*H32)</f>
        <v/>
      </c>
      <c r="J32" s="13" t="n"/>
    </row>
    <row r="33" ht="18" customHeight="1">
      <c r="A33" s="16" t="n"/>
      <c r="B33" s="17" t="n"/>
      <c r="C33" s="17" t="n"/>
      <c r="D33" s="17" t="n"/>
      <c r="E33" s="17" t="n"/>
      <c r="F33" s="16" t="n"/>
      <c r="G33" s="16" t="n"/>
      <c r="H33" s="18" t="n"/>
      <c r="I33" s="11">
        <f>IF(F33="","",F33*H33)</f>
        <v/>
      </c>
      <c r="J33" s="17" t="n"/>
    </row>
    <row r="34" ht="18" customHeight="1">
      <c r="A34" s="12" t="n"/>
      <c r="B34" s="13" t="n"/>
      <c r="C34" s="13" t="n"/>
      <c r="D34" s="13" t="n"/>
      <c r="E34" s="13" t="n"/>
      <c r="F34" s="12" t="n"/>
      <c r="G34" s="12" t="n"/>
      <c r="H34" s="14" t="n"/>
      <c r="I34" s="15">
        <f>IF(F34="","",F34*H34)</f>
        <v/>
      </c>
      <c r="J34" s="13" t="n"/>
    </row>
    <row r="35" ht="18" customHeight="1">
      <c r="A35" s="16" t="n"/>
      <c r="B35" s="17" t="n"/>
      <c r="C35" s="17" t="n"/>
      <c r="D35" s="17" t="n"/>
      <c r="E35" s="17" t="n"/>
      <c r="F35" s="16" t="n"/>
      <c r="G35" s="16" t="n"/>
      <c r="H35" s="18" t="n"/>
      <c r="I35" s="11">
        <f>IF(F35="","",F35*H35)</f>
        <v/>
      </c>
      <c r="J35" s="17" t="n"/>
    </row>
    <row r="36" ht="18" customHeight="1">
      <c r="A36" s="12" t="n"/>
      <c r="B36" s="13" t="n"/>
      <c r="C36" s="13" t="n"/>
      <c r="D36" s="13" t="n"/>
      <c r="E36" s="13" t="n"/>
      <c r="F36" s="12" t="n"/>
      <c r="G36" s="12" t="n"/>
      <c r="H36" s="14" t="n"/>
      <c r="I36" s="15">
        <f>IF(F36="","",F36*H36)</f>
        <v/>
      </c>
      <c r="J36" s="13" t="n"/>
    </row>
    <row r="37" ht="18" customHeight="1">
      <c r="A37" s="16" t="n"/>
      <c r="B37" s="17" t="n"/>
      <c r="C37" s="17" t="n"/>
      <c r="D37" s="17" t="n"/>
      <c r="E37" s="17" t="n"/>
      <c r="F37" s="16" t="n"/>
      <c r="G37" s="16" t="n"/>
      <c r="H37" s="18" t="n"/>
      <c r="I37" s="11">
        <f>IF(F37="","",F37*H37)</f>
        <v/>
      </c>
      <c r="J37" s="17" t="n"/>
    </row>
    <row r="38" ht="18" customHeight="1">
      <c r="A38" s="12" t="n"/>
      <c r="B38" s="13" t="n"/>
      <c r="C38" s="13" t="n"/>
      <c r="D38" s="13" t="n"/>
      <c r="E38" s="13" t="n"/>
      <c r="F38" s="12" t="n"/>
      <c r="G38" s="12" t="n"/>
      <c r="H38" s="14" t="n"/>
      <c r="I38" s="15">
        <f>IF(F38="","",F38*H38)</f>
        <v/>
      </c>
      <c r="J38" s="13" t="n"/>
    </row>
    <row r="39" ht="18" customHeight="1">
      <c r="A39" s="16" t="n"/>
      <c r="B39" s="17" t="n"/>
      <c r="C39" s="17" t="n"/>
      <c r="D39" s="17" t="n"/>
      <c r="E39" s="17" t="n"/>
      <c r="F39" s="16" t="n"/>
      <c r="G39" s="16" t="n"/>
      <c r="H39" s="18" t="n"/>
      <c r="I39" s="11">
        <f>IF(F39="","",F39*H39)</f>
        <v/>
      </c>
      <c r="J39" s="17" t="n"/>
    </row>
    <row r="40" ht="18" customHeight="1">
      <c r="A40" s="12" t="n"/>
      <c r="B40" s="13" t="n"/>
      <c r="C40" s="13" t="n"/>
      <c r="D40" s="13" t="n"/>
      <c r="E40" s="13" t="n"/>
      <c r="F40" s="12" t="n"/>
      <c r="G40" s="12" t="n"/>
      <c r="H40" s="14" t="n"/>
      <c r="I40" s="15">
        <f>IF(F40="","",F40*H40)</f>
        <v/>
      </c>
      <c r="J40" s="13" t="n"/>
    </row>
    <row r="41" ht="18" customHeight="1">
      <c r="A41" s="16" t="n"/>
      <c r="B41" s="17" t="n"/>
      <c r="C41" s="17" t="n"/>
      <c r="D41" s="17" t="n"/>
      <c r="E41" s="17" t="n"/>
      <c r="F41" s="16" t="n"/>
      <c r="G41" s="16" t="n"/>
      <c r="H41" s="18" t="n"/>
      <c r="I41" s="11">
        <f>IF(F41="","",F41*H41)</f>
        <v/>
      </c>
      <c r="J41" s="17" t="n"/>
    </row>
    <row r="42" ht="18" customHeight="1">
      <c r="A42" s="12" t="n"/>
      <c r="B42" s="13" t="n"/>
      <c r="C42" s="13" t="n"/>
      <c r="D42" s="13" t="n"/>
      <c r="E42" s="13" t="n"/>
      <c r="F42" s="12" t="n"/>
      <c r="G42" s="12" t="n"/>
      <c r="H42" s="14" t="n"/>
      <c r="I42" s="15">
        <f>IF(F42="","",F42*H42)</f>
        <v/>
      </c>
      <c r="J42" s="13" t="n"/>
    </row>
    <row r="43" ht="18" customHeight="1">
      <c r="A43" s="16" t="n"/>
      <c r="B43" s="17" t="n"/>
      <c r="C43" s="17" t="n"/>
      <c r="D43" s="17" t="n"/>
      <c r="E43" s="17" t="n"/>
      <c r="F43" s="16" t="n"/>
      <c r="G43" s="16" t="n"/>
      <c r="H43" s="18" t="n"/>
      <c r="I43" s="11">
        <f>IF(F43="","",F43*H43)</f>
        <v/>
      </c>
      <c r="J43" s="17" t="n"/>
    </row>
    <row r="44" ht="18" customHeight="1">
      <c r="A44" s="12" t="n"/>
      <c r="B44" s="13" t="n"/>
      <c r="C44" s="13" t="n"/>
      <c r="D44" s="13" t="n"/>
      <c r="E44" s="13" t="n"/>
      <c r="F44" s="12" t="n"/>
      <c r="G44" s="12" t="n"/>
      <c r="H44" s="14" t="n"/>
      <c r="I44" s="15">
        <f>IF(F44="","",F44*H44)</f>
        <v/>
      </c>
      <c r="J44" s="13" t="n"/>
    </row>
    <row r="45" ht="18" customHeight="1">
      <c r="A45" s="16" t="n"/>
      <c r="B45" s="17" t="n"/>
      <c r="C45" s="17" t="n"/>
      <c r="D45" s="17" t="n"/>
      <c r="E45" s="17" t="n"/>
      <c r="F45" s="16" t="n"/>
      <c r="G45" s="16" t="n"/>
      <c r="H45" s="18" t="n"/>
      <c r="I45" s="11">
        <f>IF(F45="","",F45*H45)</f>
        <v/>
      </c>
      <c r="J45" s="17" t="n"/>
    </row>
    <row r="46" ht="18" customHeight="1">
      <c r="A46" s="12" t="n"/>
      <c r="B46" s="13" t="n"/>
      <c r="C46" s="13" t="n"/>
      <c r="D46" s="13" t="n"/>
      <c r="E46" s="13" t="n"/>
      <c r="F46" s="12" t="n"/>
      <c r="G46" s="12" t="n"/>
      <c r="H46" s="14" t="n"/>
      <c r="I46" s="15">
        <f>IF(F46="","",F46*H46)</f>
        <v/>
      </c>
      <c r="J46" s="13" t="n"/>
    </row>
    <row r="47" ht="18" customHeight="1">
      <c r="A47" s="16" t="n"/>
      <c r="B47" s="17" t="n"/>
      <c r="C47" s="17" t="n"/>
      <c r="D47" s="17" t="n"/>
      <c r="E47" s="17" t="n"/>
      <c r="F47" s="16" t="n"/>
      <c r="G47" s="16" t="n"/>
      <c r="H47" s="18" t="n"/>
      <c r="I47" s="11">
        <f>IF(F47="","",F47*H47)</f>
        <v/>
      </c>
      <c r="J47" s="17" t="n"/>
    </row>
    <row r="48" ht="18" customHeight="1">
      <c r="A48" s="12" t="n"/>
      <c r="B48" s="13" t="n"/>
      <c r="C48" s="13" t="n"/>
      <c r="D48" s="13" t="n"/>
      <c r="E48" s="13" t="n"/>
      <c r="F48" s="12" t="n"/>
      <c r="G48" s="12" t="n"/>
      <c r="H48" s="14" t="n"/>
      <c r="I48" s="15">
        <f>IF(F48="","",F48*H48)</f>
        <v/>
      </c>
      <c r="J48" s="13" t="n"/>
    </row>
    <row r="49" ht="18" customHeight="1">
      <c r="A49" s="16" t="n"/>
      <c r="B49" s="17" t="n"/>
      <c r="C49" s="17" t="n"/>
      <c r="D49" s="17" t="n"/>
      <c r="E49" s="17" t="n"/>
      <c r="F49" s="16" t="n"/>
      <c r="G49" s="16" t="n"/>
      <c r="H49" s="18" t="n"/>
      <c r="I49" s="11">
        <f>IF(F49="","",F49*H49)</f>
        <v/>
      </c>
      <c r="J49" s="17" t="n"/>
    </row>
    <row r="50" ht="18" customHeight="1">
      <c r="A50" s="12" t="n"/>
      <c r="B50" s="13" t="n"/>
      <c r="C50" s="13" t="n"/>
      <c r="D50" s="13" t="n"/>
      <c r="E50" s="13" t="n"/>
      <c r="F50" s="12" t="n"/>
      <c r="G50" s="12" t="n"/>
      <c r="H50" s="14" t="n"/>
      <c r="I50" s="15">
        <f>IF(F50="","",F50*H50)</f>
        <v/>
      </c>
      <c r="J50" s="13" t="n"/>
    </row>
    <row r="51" ht="18" customHeight="1">
      <c r="A51" s="16" t="n"/>
      <c r="B51" s="17" t="n"/>
      <c r="C51" s="17" t="n"/>
      <c r="D51" s="17" t="n"/>
      <c r="E51" s="17" t="n"/>
      <c r="F51" s="16" t="n"/>
      <c r="G51" s="16" t="n"/>
      <c r="H51" s="18" t="n"/>
      <c r="I51" s="11">
        <f>IF(F51="","",F51*H51)</f>
        <v/>
      </c>
      <c r="J51" s="17" t="n"/>
    </row>
    <row r="52" ht="18" customHeight="1">
      <c r="A52" s="12" t="n"/>
      <c r="B52" s="13" t="n"/>
      <c r="C52" s="13" t="n"/>
      <c r="D52" s="13" t="n"/>
      <c r="E52" s="13" t="n"/>
      <c r="F52" s="12" t="n"/>
      <c r="G52" s="12" t="n"/>
      <c r="H52" s="14" t="n"/>
      <c r="I52" s="15">
        <f>IF(F52="","",F52*H52)</f>
        <v/>
      </c>
      <c r="J52" s="13" t="n"/>
    </row>
    <row r="53" ht="18" customHeight="1">
      <c r="A53" s="16" t="n"/>
      <c r="B53" s="17" t="n"/>
      <c r="C53" s="17" t="n"/>
      <c r="D53" s="17" t="n"/>
      <c r="E53" s="17" t="n"/>
      <c r="F53" s="16" t="n"/>
      <c r="G53" s="16" t="n"/>
      <c r="H53" s="18" t="n"/>
      <c r="I53" s="11">
        <f>IF(F53="","",F53*H53)</f>
        <v/>
      </c>
      <c r="J53" s="17" t="n"/>
    </row>
    <row r="54" ht="26" customHeight="1">
      <c r="A54" s="19" t="inlineStr">
        <is>
          <t>TOTAL DEL PERÍODO</t>
        </is>
      </c>
      <c r="I54" s="20">
        <f>SUM(I4:I53)</f>
        <v/>
      </c>
      <c r="J54" s="21" t="n"/>
    </row>
  </sheetData>
  <mergeCells count="3">
    <mergeCell ref="A1:J1"/>
    <mergeCell ref="A54:H5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20" customWidth="1" min="4" max="4"/>
  </cols>
  <sheetData>
    <row r="1" ht="30" customHeight="1">
      <c r="A1" s="22" t="inlineStr">
        <is>
          <t>RESUMEN DE GASTOS POR CATEGORÍA</t>
        </is>
      </c>
    </row>
    <row r="2">
      <c r="A2" s="2" t="inlineStr">
        <is>
          <t>Se actualiza automáticamente desde la hoja 'Registro de Gastos'</t>
        </is>
      </c>
    </row>
    <row r="3">
      <c r="A3" s="3" t="inlineStr">
        <is>
          <t>Categoría</t>
        </is>
      </c>
      <c r="B3" s="3" t="inlineStr">
        <is>
          <t>Total Gastado ($)</t>
        </is>
      </c>
      <c r="C3" s="3" t="inlineStr">
        <is>
          <t>% del Total</t>
        </is>
      </c>
      <c r="D3" s="3" t="inlineStr">
        <is>
          <t>Nivel</t>
        </is>
      </c>
    </row>
    <row r="4" ht="22" customHeight="1">
      <c r="A4" s="23" t="inlineStr">
        <is>
          <t>Sanidad animal</t>
        </is>
      </c>
      <c r="B4" s="7">
        <f>SUMIF('Registro de Gastos'!C4:C53,A4,'Registro de Gastos'!I4:I53)</f>
        <v/>
      </c>
      <c r="C4" s="24">
        <f>IF(B15=0,"",B4/B15)</f>
        <v/>
      </c>
      <c r="D4" s="4">
        <f>IF(C4="","Sin datos",IF(C4&gt;0.2,"Alto (&gt;20%)",IF(C4&gt;0.1,"Medio (10-20%)","Bajo (&lt;10%)")))</f>
        <v/>
      </c>
    </row>
    <row r="5" ht="22" customHeight="1">
      <c r="A5" s="25" t="inlineStr">
        <is>
          <t>Alimentación animal</t>
        </is>
      </c>
      <c r="B5" s="11">
        <f>SUMIF('Registro de Gastos'!C4:C53,A5,'Registro de Gastos'!I4:I53)</f>
        <v/>
      </c>
      <c r="C5" s="24">
        <f>IF(B16=0,"",B5/B16)</f>
        <v/>
      </c>
      <c r="D5" s="8">
        <f>IF(C5="","Sin datos",IF(C5&gt;0.2,"Alto (&gt;20%)",IF(C5&gt;0.1,"Medio (10-20%)","Bajo (&lt;10%)")))</f>
        <v/>
      </c>
    </row>
    <row r="6" ht="22" customHeight="1">
      <c r="A6" s="23" t="inlineStr">
        <is>
          <t>Insumos agrícolas</t>
        </is>
      </c>
      <c r="B6" s="7">
        <f>SUMIF('Registro de Gastos'!C4:C53,A6,'Registro de Gastos'!I4:I53)</f>
        <v/>
      </c>
      <c r="C6" s="24">
        <f>IF(B17=0,"",B6/B17)</f>
        <v/>
      </c>
      <c r="D6" s="4">
        <f>IF(C6="","Sin datos",IF(C6&gt;0.2,"Alto (&gt;20%)",IF(C6&gt;0.1,"Medio (10-20%)","Bajo (&lt;10%)")))</f>
        <v/>
      </c>
    </row>
    <row r="7" ht="22" customHeight="1">
      <c r="A7" s="25" t="inlineStr">
        <is>
          <t>Mano de obra</t>
        </is>
      </c>
      <c r="B7" s="11">
        <f>SUMIF('Registro de Gastos'!C4:C53,A7,'Registro de Gastos'!I4:I53)</f>
        <v/>
      </c>
      <c r="C7" s="24">
        <f>IF(B18=0,"",B7/B18)</f>
        <v/>
      </c>
      <c r="D7" s="8">
        <f>IF(C7="","Sin datos",IF(C7&gt;0.2,"Alto (&gt;20%)",IF(C7&gt;0.1,"Medio (10-20%)","Bajo (&lt;10%)")))</f>
        <v/>
      </c>
    </row>
    <row r="8" ht="22" customHeight="1">
      <c r="A8" s="23" t="inlineStr">
        <is>
          <t>Maquinaria y equipos</t>
        </is>
      </c>
      <c r="B8" s="7">
        <f>SUMIF('Registro de Gastos'!C4:C53,A8,'Registro de Gastos'!I4:I53)</f>
        <v/>
      </c>
      <c r="C8" s="24">
        <f>IF(B19=0,"",B8/B19)</f>
        <v/>
      </c>
      <c r="D8" s="4">
        <f>IF(C8="","Sin datos",IF(C8&gt;0.2,"Alto (&gt;20%)",IF(C8&gt;0.1,"Medio (10-20%)","Bajo (&lt;10%)")))</f>
        <v/>
      </c>
    </row>
    <row r="9" ht="22" customHeight="1">
      <c r="A9" s="25" t="inlineStr">
        <is>
          <t>Transporte</t>
        </is>
      </c>
      <c r="B9" s="11">
        <f>SUMIF('Registro de Gastos'!C4:C53,A9,'Registro de Gastos'!I4:I53)</f>
        <v/>
      </c>
      <c r="C9" s="24">
        <f>IF(B20=0,"",B9/B20)</f>
        <v/>
      </c>
      <c r="D9" s="8">
        <f>IF(C9="","Sin datos",IF(C9&gt;0.2,"Alto (&gt;20%)",IF(C9&gt;0.1,"Medio (10-20%)","Bajo (&lt;10%)")))</f>
        <v/>
      </c>
    </row>
    <row r="10" ht="22" customHeight="1">
      <c r="A10" s="23" t="inlineStr">
        <is>
          <t>Semillas y material vegetal</t>
        </is>
      </c>
      <c r="B10" s="7">
        <f>SUMIF('Registro de Gastos'!C4:C53,A10,'Registro de Gastos'!I4:I53)</f>
        <v/>
      </c>
      <c r="C10" s="24">
        <f>IF(B21=0,"",B10/B21)</f>
        <v/>
      </c>
      <c r="D10" s="4">
        <f>IF(C10="","Sin datos",IF(C10&gt;0.2,"Alto (&gt;20%)",IF(C10&gt;0.1,"Medio (10-20%)","Bajo (&lt;10%)")))</f>
        <v/>
      </c>
    </row>
    <row r="11" ht="22" customHeight="1">
      <c r="A11" s="25" t="inlineStr">
        <is>
          <t>Administración y otros</t>
        </is>
      </c>
      <c r="B11" s="11">
        <f>SUMIF('Registro de Gastos'!C4:C53,A11,'Registro de Gastos'!I4:I53)</f>
        <v/>
      </c>
      <c r="C11" s="24">
        <f>IF(B22=0,"",B11/B22)</f>
        <v/>
      </c>
      <c r="D11" s="8">
        <f>IF(C11="","Sin datos",IF(C11&gt;0.2,"Alto (&gt;20%)",IF(C11&gt;0.1,"Medio (10-20%)","Bajo (&lt;10%)")))</f>
        <v/>
      </c>
    </row>
    <row r="12" ht="26" customHeight="1">
      <c r="A12" s="19" t="inlineStr">
        <is>
          <t>TOTAL GENERAL</t>
        </is>
      </c>
      <c r="B12" s="20">
        <f>SUM(B4:B11)</f>
        <v/>
      </c>
      <c r="C12" s="21" t="n"/>
      <c r="D12" s="21" t="n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22" t="inlineStr">
        <is>
          <t>PLANTILLAS DE PROMPT PARA CLAUDE — CONTROL DE GASTOS</t>
        </is>
      </c>
    </row>
    <row r="3" ht="80" customHeight="1">
      <c r="A3" s="26" t="inlineStr">
        <is>
          <t>Registro diario</t>
        </is>
      </c>
      <c r="B3" s="27" t="inlineStr">
        <is>
          <t>Actúa como contador agropecuario. Voy a darte una lista desordenada de gastos de mi finca de hoy. Categorízalos en: Sanidad animal, Alimentación animal, Insumos agrícolas, Mano de obra, Maquinaria y equipos, Transporte, Semillas y material vegetal, Administración y otros. Para cada categoría muéstrame el subtotal. Al final dame el total del día y dime cuál categoría fue la más alta. Aquí van los gastos: [PEGA AQUÍ TUS GASTOS]</t>
        </is>
      </c>
    </row>
    <row r="4" ht="80" customHeight="1">
      <c r="A4" s="26" t="inlineStr">
        <is>
          <t>Análisis mensual</t>
        </is>
      </c>
      <c r="B4" s="28" t="inlineStr">
        <is>
          <t>Aquí están mis gastos del mes de [MES]: [PEGA DATOS O TOTALES POR CATEGORÍA]. Analízalos y dime: 1) En qué categoría gasté más, 2) Si hay algo que parece inusualmente alto, 3) Qué porcentaje representa cada categoría del total, 4) Una recomendación para reducir costos el próximo mes.</t>
        </is>
      </c>
    </row>
    <row r="5" ht="80" customHeight="1">
      <c r="A5" s="26" t="inlineStr">
        <is>
          <t>Comparar meses</t>
        </is>
      </c>
      <c r="B5" s="27" t="inlineStr">
        <is>
          <t>Compara mis gastos de estos dos meses: Mes 1 [MES]: [TOTALES]. Mes 2 [MES]: [TOTALES]. Dime qué categorías subieron, cuáles bajaron, y el % de variación total. Dame una hipótesis de por qué pudo haber cambiado cada categoría significativa.</t>
        </is>
      </c>
    </row>
    <row r="6" ht="80" customHeight="1">
      <c r="A6" s="26" t="inlineStr">
        <is>
          <t>Presupuesto vs real</t>
        </is>
      </c>
      <c r="B6" s="28" t="inlineStr">
        <is>
          <t>Mi presupuesto mensual para la finca es: [CATEGORÍA: VALOR]. Mis gastos reales fueron: [CATEGORÍA: VALOR]. Dime en qué categorías me pasé del presupuesto, cuánto fue la desviación en pesos y en porcentaje, y qué acciones concretas puedo tomar para ajustarme el próximo mes.</t>
        </is>
      </c>
    </row>
    <row r="7" ht="80" customHeight="1">
      <c r="A7" s="26" t="inlineStr">
        <is>
          <t>Preparar subasta</t>
        </is>
      </c>
      <c r="B7" s="27" t="inlineStr">
        <is>
          <t>Voy a vender [CANTIDAD] [TIPO DE ANIMAL] en la subasta de [LUGAR] el [FECHA]. Mis costos de producción por animal han sido: [DETALLAR O PEGAR GASTOS]. ¿Cuál es el precio mínimo al que debo vender para no perder? ¿Y cuál debería ser mi precio objetivo con un margen del 20%?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2026-04-27T23:28:54Z</dcterms:created>
  <dcterms:modified xmlns:dcterms="http://purl.org/dc/terms/" xmlns:xsi="http://www.w3.org/2001/XMLSchema-instance" xsi:type="dcterms:W3CDTF">2026-04-27T23:28:54Z</dcterms:modified>
</cp:coreProperties>
</file>